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DU AN" sheetId="3" state="visible" r:id="rId3"/>
    <sheet xmlns:r="http://schemas.openxmlformats.org/officeDocument/2006/relationships" name="WBOOKING" sheetId="4" state="visible" r:id="rId4"/>
    <sheet xmlns:r="http://schemas.openxmlformats.org/officeDocument/2006/relationships" name="DIEM NONG" sheetId="5" state="visible" r:id="rId5"/>
    <sheet xmlns:r="http://schemas.openxmlformats.org/officeDocument/2006/relationships" name="MOC THOI GIAN" sheetId="6" state="visible" r:id="rId6"/>
    <sheet xmlns:r="http://schemas.openxmlformats.org/officeDocument/2006/relationships" name="PHAN CO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−0.0%"/>
    <numFmt numFmtId="166" formatCode="#,##0.000;−#,##0.000;&quot;—&quot;"/>
    <numFmt numFmtId="167" formatCode="0.0%;−0.0%;&quot;—&quot;"/>
  </numFmts>
  <fonts count="16">
    <font>
      <name val="Calibri"/>
      <family val="2"/>
      <color theme="1"/>
      <sz val="11"/>
      <scheme val="minor"/>
    </font>
    <font>
      <name val="Arial"/>
      <b val="1"/>
      <color rgb="001B2A5B"/>
      <sz val="15"/>
    </font>
    <font>
      <name val="Arial"/>
      <color rgb="005B6577"/>
      <sz val="10"/>
    </font>
    <font>
      <name val="Arial"/>
      <b val="1"/>
      <color rgb="00E03A3C"/>
      <sz val="11"/>
    </font>
    <font>
      <name val="Arial"/>
      <b val="1"/>
      <color rgb="001B2A5B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1B2A5B"/>
      <sz val="13"/>
    </font>
    <font>
      <name val="Arial"/>
      <b val="1"/>
      <sz val="10"/>
    </font>
    <font>
      <name val="Arial"/>
      <color rgb="000000FF"/>
      <sz val="10"/>
    </font>
    <font>
      <name val="Arial"/>
      <color rgb="005B6577"/>
      <sz val="9"/>
    </font>
    <font>
      <name val="Arial"/>
      <b val="1"/>
      <color rgb="001B2A5B"/>
      <sz val="12"/>
    </font>
    <font>
      <name val="Arial"/>
      <b val="1"/>
      <color rgb="00FFFFFF"/>
      <sz val="10"/>
    </font>
    <font>
      <name val="Arial"/>
      <color rgb="00808080"/>
      <sz val="10"/>
    </font>
    <font>
      <name val="Arial"/>
      <b val="1"/>
      <color rgb="00D8584E"/>
      <sz val="10"/>
    </font>
    <font>
      <name val="Arial"/>
      <i val="1"/>
      <color rgb="00D8584E"/>
      <sz val="9"/>
    </font>
  </fonts>
  <fills count="5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B2A5B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2" borderId="1" pivotButton="0" quotePrefix="0" xfId="0"/>
    <xf numFmtId="0" fontId="10" fillId="0" borderId="1" applyAlignment="1" pivotButton="0" quotePrefix="0" xfId="0">
      <alignment vertical="top" wrapText="1"/>
    </xf>
    <xf numFmtId="4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3" fontId="9" fillId="0" borderId="1" pivotButton="0" quotePrefix="0" xfId="0"/>
    <xf numFmtId="0" fontId="9" fillId="0" borderId="1" pivotButton="0" quotePrefix="0" xfId="0"/>
    <xf numFmtId="0" fontId="11" fillId="0" borderId="0" pivotButton="0" quotePrefix="0" xfId="0"/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166" fontId="9" fillId="0" borderId="1" applyAlignment="1" pivotButton="0" quotePrefix="0" xfId="0">
      <alignment vertical="top"/>
    </xf>
    <xf numFmtId="167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0" fillId="4" borderId="1" pivotButton="0" quotePrefix="0" xfId="0"/>
    <xf numFmtId="0" fontId="8" fillId="4" borderId="1" pivotButton="0" quotePrefix="0" xfId="0"/>
    <xf numFmtId="4" fontId="8" fillId="4" borderId="1" pivotButton="0" quotePrefix="0" xfId="0"/>
    <xf numFmtId="0" fontId="5" fillId="0" borderId="1" pivotButton="0" quotePrefix="0" xfId="0"/>
    <xf numFmtId="10" fontId="5" fillId="0" borderId="1" pivotButton="0" quotePrefix="0" xfId="0"/>
    <xf numFmtId="3" fontId="8" fillId="4" borderId="1" pivotButton="0" quotePrefix="0" xfId="0"/>
    <xf numFmtId="10" fontId="8" fillId="4" borderId="1" pivotButton="0" quotePrefix="0" xfId="0"/>
    <xf numFmtId="0" fontId="14" fillId="0" borderId="1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D8584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1" t="inlineStr">
        <is>
          <t>PVI · PHÒNG TMĐT — FILE CẬP NHẬT DỮ LIỆU DASHBOARD</t>
        </is>
      </c>
    </row>
    <row r="3">
      <c r="B3" s="2" t="inlineStr">
        <is>
          <t>Đi kèm dashboard index.html · Kỳ hiện tại: Tháng 06/2026 · Chốt số: 30/06/2026</t>
        </is>
      </c>
    </row>
    <row r="5">
      <c r="B5" s="3" t="inlineStr">
        <is>
          <t>CÁCH DÙNG</t>
        </is>
      </c>
    </row>
    <row r="6">
      <c r="B6" s="4" t="inlineStr">
        <is>
          <t>Bước 1</t>
        </is>
      </c>
      <c r="C6" s="5" t="inlineStr">
        <is>
          <t>Hàng tháng, điền số mới vào các ô CHỮ XANH DƯƠNG ở các sheet: DU AN, WBOOKING, DIEM NONG, MOC THOI GIAN, PHAN CONG.</t>
        </is>
      </c>
    </row>
    <row r="7">
      <c r="B7" s="4" t="inlineStr">
        <is>
          <t>Bước 2</t>
        </is>
      </c>
      <c r="C7" s="5" t="inlineStr">
        <is>
          <t>Các ô chữ đen là CÔNG THỨC (tổng, %, tỷ lệ) — không sửa tay, Excel tự tính.</t>
        </is>
      </c>
    </row>
    <row r="8">
      <c r="B8" s="4" t="inlineStr">
        <is>
          <t>Bước 3</t>
        </is>
      </c>
      <c r="C8" s="5" t="inlineStr">
        <is>
          <t>Gửi file này cho Claude Code kèm câu lệnh: "Cập nhật dashboard theo file PVI-TMDT-Data.xlsx" — toàn bộ số trên dashboard sẽ được đồng bộ.</t>
        </is>
      </c>
    </row>
    <row r="9">
      <c r="B9" s="4" t="inlineStr"/>
      <c r="C9" s="5" t="inlineStr"/>
    </row>
    <row r="10">
      <c r="B10" s="3" t="inlineStr">
        <is>
          <t>QUY ƯỚC MÀU CHỮ</t>
        </is>
      </c>
    </row>
    <row r="11">
      <c r="B11" s="6" t="inlineStr">
        <is>
          <t>Chữ xanh dương</t>
        </is>
      </c>
      <c r="C11" s="5" t="inlineStr">
        <is>
          <t>Ô nhập liệu — sửa trực tiếp hàng tháng.</t>
        </is>
      </c>
    </row>
    <row r="12">
      <c r="B12" s="4" t="inlineStr">
        <is>
          <t>Chữ đen</t>
        </is>
      </c>
      <c r="C12" s="5" t="inlineStr">
        <is>
          <t>Công thức tự tính — không sửa.</t>
        </is>
      </c>
    </row>
    <row r="13">
      <c r="B13" s="7" t="inlineStr">
        <is>
          <t>Nền vàng</t>
        </is>
      </c>
      <c r="C13" s="5" t="inlineStr">
        <is>
          <t>Ô giả định quan trọng (mục tiêu năm, kỳ báo cáo).</t>
        </is>
      </c>
    </row>
    <row r="14">
      <c r="B14" s="4" t="inlineStr"/>
      <c r="C14" s="5" t="inlineStr"/>
    </row>
    <row r="15">
      <c r="B15" s="3" t="inlineStr">
        <is>
          <t>QUY ƯỚC TRẠNG THÁI DỰ ÁN (cột Trạng thái, sheet DU AN)</t>
        </is>
      </c>
    </row>
    <row r="16">
      <c r="B16" s="4" t="inlineStr">
        <is>
          <t>tang-truong</t>
        </is>
      </c>
      <c r="C16" s="5" t="inlineStr">
        <is>
          <t>🟢 Đang tăng trưởng / đạt tốt</t>
        </is>
      </c>
    </row>
    <row r="17">
      <c r="B17" s="4" t="inlineStr">
        <is>
          <t>sap-golive</t>
        </is>
      </c>
      <c r="C17" s="5" t="inlineStr">
        <is>
          <t>🟡 Sắp go-live / đang chuẩn bị</t>
        </is>
      </c>
    </row>
    <row r="18">
      <c r="B18" s="4" t="inlineStr">
        <is>
          <t>canh-bao</t>
        </is>
      </c>
      <c r="C18" s="5" t="inlineStr">
        <is>
          <t>🔴 Cần chú ý / giảm sâu / công nợ</t>
        </is>
      </c>
    </row>
    <row r="19">
      <c r="B19" s="4" t="inlineStr">
        <is>
          <t>cho-doi-tac</t>
        </is>
      </c>
      <c r="C19" s="5" t="inlineStr">
        <is>
          <t>⚪ Chờ đối tác / đang đàm phán</t>
        </is>
      </c>
    </row>
    <row r="20">
      <c r="B20" s="4" t="inlineStr"/>
      <c r="C20" s="5" t="inlineStr"/>
    </row>
    <row r="21">
      <c r="B21" s="4" t="inlineStr">
        <is>
          <t>ĐƠN VỊ</t>
        </is>
      </c>
      <c r="C21" s="5" t="inlineStr">
        <is>
          <t>Doanh thu nhập bằng TỶ VNĐ (vd 25,4). Riêng sheet WBOOKING và công nợ nhập bằng ĐỒNG.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40" customWidth="1" min="4" max="4"/>
  </cols>
  <sheetData>
    <row r="2">
      <c r="B2" s="8" t="inlineStr">
        <is>
          <t>TỔNG HỢP — KHỚP KHỐI A CỦA DASHBOARD</t>
        </is>
      </c>
    </row>
    <row r="4">
      <c r="B4" s="9" t="inlineStr">
        <is>
          <t>Kỳ báo cáo</t>
        </is>
      </c>
      <c r="C4" s="10" t="inlineStr">
        <is>
          <t>Tháng 06/2026</t>
        </is>
      </c>
      <c r="D4" s="11" t="inlineStr">
        <is>
          <t>Đổi mỗi tháng</t>
        </is>
      </c>
    </row>
    <row r="5">
      <c r="B5" s="9" t="inlineStr">
        <is>
          <t>Ngày chốt số</t>
        </is>
      </c>
      <c r="C5" s="10" t="inlineStr">
        <is>
          <t>30/06/2026</t>
        </is>
      </c>
      <c r="D5" s="11" t="inlineStr"/>
    </row>
    <row r="6">
      <c r="B6" s="9" t="inlineStr">
        <is>
          <t>Mục tiêu doanh thu năm (tỷ)</t>
        </is>
      </c>
      <c r="C6" s="10" t="n">
        <v>100</v>
      </c>
      <c r="D6" s="11" t="inlineStr">
        <is>
          <t>Hero: 'Mục tiêu năm 2026'</t>
        </is>
      </c>
    </row>
    <row r="7">
      <c r="B7" s="9" t="inlineStr">
        <is>
          <t>Tổng lũy kế 6T/2026 (tỷ)</t>
        </is>
      </c>
      <c r="C7" s="12">
        <f>'DU AN'!J17</f>
        <v/>
      </c>
      <c r="D7" s="11" t="inlineStr">
        <is>
          <t>Hero: 'Lũy kế 6T/2026' — tự cộng từ sheet DU AN</t>
        </is>
      </c>
    </row>
    <row r="8">
      <c r="B8" s="9" t="inlineStr">
        <is>
          <t>% hoàn thành mục tiêu</t>
        </is>
      </c>
      <c r="C8" s="13">
        <f>C7/C6</f>
        <v/>
      </c>
      <c r="D8" s="11" t="inlineStr">
        <is>
          <t>Hero: thanh tiến độ + donut</t>
        </is>
      </c>
    </row>
    <row r="9">
      <c r="B9" s="9" t="inlineStr">
        <is>
          <t>Lũy kế cùng kỳ 6T/2025 (tỷ, dự án so sánh được)</t>
        </is>
      </c>
      <c r="C9" s="12">
        <f>'DU AN'!L17</f>
        <v/>
      </c>
      <c r="D9" s="11" t="inlineStr">
        <is>
          <t>Chỉ cộng dự án có số 2025</t>
        </is>
      </c>
    </row>
    <row r="10">
      <c r="B10" s="9" t="inlineStr">
        <is>
          <t>Lũy kế 6T/2026 của các dự án đó (tỷ)</t>
        </is>
      </c>
      <c r="C10" s="12">
        <f>SUMIF('DU AN'!L3:L16,"&gt;0",'DU AN'!J3:J16)</f>
        <v/>
      </c>
      <c r="D10" s="11" t="inlineStr"/>
    </row>
    <row r="11">
      <c r="B11" s="9" t="inlineStr">
        <is>
          <t>Tăng trưởng YoY</t>
        </is>
      </c>
      <c r="C11" s="14">
        <f>IF(C9=0,"—",C10/C9-1)</f>
        <v/>
      </c>
      <c r="D11" s="11" t="inlineStr">
        <is>
          <t>Hero: 'So cùng kỳ 6T/2025'</t>
        </is>
      </c>
    </row>
    <row r="12">
      <c r="B12" s="9" t="inlineStr">
        <is>
          <t>Số đơn TripCARE 6T</t>
        </is>
      </c>
      <c r="C12" s="15" t="n">
        <v>116372</v>
      </c>
      <c r="D12" s="11" t="inlineStr">
        <is>
          <t>Hero: 'Số đơn TripCARE 6T'</t>
        </is>
      </c>
    </row>
    <row r="13">
      <c r="B13" s="9" t="inlineStr">
        <is>
          <t>Số đơn TripCARE cùng kỳ 2025</t>
        </is>
      </c>
      <c r="C13" s="15" t="n">
        <v>113042</v>
      </c>
      <c r="D13" s="11" t="inlineStr"/>
    </row>
    <row r="14">
      <c r="B14" s="9" t="inlineStr">
        <is>
          <t>Số dự án đang triển khai</t>
        </is>
      </c>
      <c r="C14" s="16" t="n">
        <v>13</v>
      </c>
      <c r="D14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13" customWidth="1" min="4" max="4"/>
    <col width="10" customWidth="1" min="5" max="5"/>
    <col width="10" customWidth="1" min="6" max="6"/>
    <col width="10" customWidth="1" min="7" max="7"/>
    <col width="30" customWidth="1" min="8" max="8"/>
    <col width="12" customWidth="1" min="9" max="9"/>
    <col width="13" customWidth="1" min="10" max="10"/>
    <col width="10" customWidth="1" min="11" max="11"/>
    <col width="13" customWidth="1" min="12" max="12"/>
    <col width="11" customWidth="1" min="13" max="13"/>
    <col width="60" customWidth="1" min="14" max="14"/>
  </cols>
  <sheetData>
    <row r="1">
      <c r="A1" s="17" t="inlineStr">
        <is>
          <t>DANH MỤC 13 DỰ ÁN — mỗi tháng cập nhật cột I, J, K, L, M, N và Trạng thái</t>
        </is>
      </c>
    </row>
    <row r="2" ht="30" customHeight="1">
      <c r="A2" s="18" t="inlineStr">
        <is>
          <t>ID (không sửa)</t>
        </is>
      </c>
      <c r="B2" s="18" t="inlineStr">
        <is>
          <t>Tên dự án</t>
        </is>
      </c>
      <c r="C2" s="18" t="inlineStr">
        <is>
          <t>Đối tác</t>
        </is>
      </c>
      <c r="D2" s="18" t="inlineStr">
        <is>
          <t>Trạng thái</t>
        </is>
      </c>
      <c r="E2" s="18" t="inlineStr">
        <is>
          <t>Ưu tiên (1-5)</t>
        </is>
      </c>
      <c r="F2" s="18" t="inlineStr">
        <is>
          <t>Phụ trách</t>
        </is>
      </c>
      <c r="G2" s="18" t="inlineStr">
        <is>
          <t>Hỗ trợ</t>
        </is>
      </c>
      <c r="H2" s="18" t="inlineStr">
        <is>
          <t>KPI năm (mô tả)</t>
        </is>
      </c>
      <c r="I2" s="18" t="inlineStr">
        <is>
          <t>DT tháng này (tỷ)</t>
        </is>
      </c>
      <c r="J2" s="18" t="inlineStr">
        <is>
          <t>Lũy kế 6T/2026 (tỷ)</t>
        </is>
      </c>
      <c r="K2" s="18" t="inlineStr">
        <is>
          <t>% KPI năm</t>
        </is>
      </c>
      <c r="L2" s="18" t="inlineStr">
        <is>
          <t>Cùng kỳ 6T/2025 (tỷ)</t>
        </is>
      </c>
      <c r="M2" s="18" t="inlineStr">
        <is>
          <t>Tỷ lệ BT 6T (%)</t>
        </is>
      </c>
      <c r="N2" s="18" t="inlineStr">
        <is>
          <t>Ghi chú / diễn biến</t>
        </is>
      </c>
    </row>
    <row r="3">
      <c r="A3" s="19" t="inlineStr">
        <is>
          <t>tripcare</t>
        </is>
      </c>
      <c r="B3" s="20" t="inlineStr">
        <is>
          <t>TripCARE</t>
        </is>
      </c>
      <c r="C3" s="20" t="inlineStr">
        <is>
          <t>VNA</t>
        </is>
      </c>
      <c r="D3" s="20" t="inlineStr">
        <is>
          <t>tang-truong</t>
        </is>
      </c>
      <c r="E3" s="21" t="n">
        <v>5</v>
      </c>
      <c r="F3" s="20" t="inlineStr">
        <is>
          <t>Hằng</t>
        </is>
      </c>
      <c r="G3" s="20" t="inlineStr">
        <is>
          <t>Duy</t>
        </is>
      </c>
      <c r="H3" s="22" t="inlineStr">
        <is>
          <t>60 tỷ (PVI) / 80 tỷ (VNA)</t>
        </is>
      </c>
      <c r="I3" s="23" t="n">
        <v>4.78</v>
      </c>
      <c r="J3" s="23" t="n">
        <v>25.4</v>
      </c>
      <c r="K3" s="24" t="n">
        <v>0.4226</v>
      </c>
      <c r="L3" s="23" t="n">
        <v>27.05</v>
      </c>
      <c r="M3" s="24" t="n"/>
      <c r="N3" s="25" t="inlineStr">
        <is>
          <t>T6 đạt 4,78 tỷ — tăng ~1 tỷ so với T5 (3,69 tỷ); 116.372 đơn 6T</t>
        </is>
      </c>
    </row>
    <row r="4">
      <c r="A4" s="19" t="inlineStr">
        <is>
          <t>spa</t>
        </is>
      </c>
      <c r="B4" s="20" t="inlineStr">
        <is>
          <t>SPA GoSafe</t>
        </is>
      </c>
      <c r="C4" s="20" t="inlineStr">
        <is>
          <t>SPA</t>
        </is>
      </c>
      <c r="D4" s="20" t="inlineStr">
        <is>
          <t>sap-golive</t>
        </is>
      </c>
      <c r="E4" s="21" t="n">
        <v>5</v>
      </c>
      <c r="F4" s="20" t="inlineStr">
        <is>
          <t>Hằng</t>
        </is>
      </c>
      <c r="G4" s="20" t="inlineStr">
        <is>
          <t>Thư</t>
        </is>
      </c>
      <c r="H4" s="22" t="inlineStr">
        <is>
          <t>9,6 tỷ/năm (805 tr/tháng, CR 5%)</t>
        </is>
      </c>
      <c r="I4" s="23" t="n">
        <v>0</v>
      </c>
      <c r="J4" s="23" t="n">
        <v>0</v>
      </c>
      <c r="K4" s="24" t="n">
        <v>0</v>
      </c>
      <c r="L4" s="23" t="n"/>
      <c r="M4" s="24" t="n"/>
      <c r="N4" s="25" t="inlineStr">
        <is>
          <t>Chưa phát sinh — mốc: 14/7 back-end, 13–24/7 UAT, 6/8 production Chubb CRS</t>
        </is>
      </c>
    </row>
    <row r="5">
      <c r="A5" s="19" t="inlineStr">
        <is>
          <t>bamboocare</t>
        </is>
      </c>
      <c r="B5" s="20" t="inlineStr">
        <is>
          <t>BambooCARE</t>
        </is>
      </c>
      <c r="C5" s="20" t="inlineStr">
        <is>
          <t>Bamboo Airways</t>
        </is>
      </c>
      <c r="D5" s="20" t="inlineStr">
        <is>
          <t>canh-bao</t>
        </is>
      </c>
      <c r="E5" s="21" t="n">
        <v>3</v>
      </c>
      <c r="F5" s="20" t="inlineStr">
        <is>
          <t>Hằng</t>
        </is>
      </c>
      <c r="G5" s="20" t="inlineStr"/>
      <c r="H5" s="22" t="inlineStr">
        <is>
          <t>3,5 tỷ (PVI Target 2026)</t>
        </is>
      </c>
      <c r="I5" s="23" t="n">
        <v>0.1374</v>
      </c>
      <c r="J5" s="23" t="n">
        <v>0.9255</v>
      </c>
      <c r="K5" s="24" t="n">
        <v>0.265</v>
      </c>
      <c r="L5" s="23" t="n">
        <v>1.62</v>
      </c>
      <c r="M5" s="24" t="n"/>
      <c r="N5" s="25" t="inlineStr">
        <is>
          <t>T6 giảm 47% YoY; công nợ BAV quá hạn 277.972.704đ (T3–5/2026)</t>
        </is>
      </c>
    </row>
    <row r="6">
      <c r="A6" s="19" t="inlineStr">
        <is>
          <t>wbooking</t>
        </is>
      </c>
      <c r="B6" s="20" t="inlineStr">
        <is>
          <t>wBooking (HIO)</t>
        </is>
      </c>
      <c r="C6" s="20" t="inlineStr">
        <is>
          <t>wBooking</t>
        </is>
      </c>
      <c r="D6" s="20" t="inlineStr">
        <is>
          <t>canh-bao</t>
        </is>
      </c>
      <c r="E6" s="21" t="n">
        <v>3</v>
      </c>
      <c r="F6" s="20" t="inlineStr">
        <is>
          <t>Hằng</t>
        </is>
      </c>
      <c r="G6" s="20" t="inlineStr"/>
      <c r="H6" s="22" t="inlineStr">
        <is>
          <t>4 tỷ (PVI) / 16,15 tỷ (wBooking)</t>
        </is>
      </c>
      <c r="I6" s="23" t="n"/>
      <c r="J6" s="23" t="n">
        <v>1.59</v>
      </c>
      <c r="K6" s="24" t="n"/>
      <c r="L6" s="23" t="n">
        <v>2.44</v>
      </c>
      <c r="M6" s="24" t="n">
        <v>0.8766</v>
      </c>
      <c r="N6" s="25" t="inlineStr">
        <is>
          <t>T4–T6 tỷ lệ BT đều &gt;100% — rà soát gói B20 (chi tiết sheet WBOOKING)</t>
        </is>
      </c>
    </row>
    <row r="7">
      <c r="A7" s="19" t="inlineStr">
        <is>
          <t>flightdelay</t>
        </is>
      </c>
      <c r="B7" s="20" t="inlineStr">
        <is>
          <t>Flight Delay</t>
        </is>
      </c>
      <c r="C7" s="20" t="inlineStr">
        <is>
          <t>Igloo / OTA</t>
        </is>
      </c>
      <c r="D7" s="20" t="inlineStr">
        <is>
          <t>sap-golive</t>
        </is>
      </c>
      <c r="E7" s="21" t="n">
        <v>3</v>
      </c>
      <c r="F7" s="20" t="inlineStr">
        <is>
          <t>Hằng</t>
        </is>
      </c>
      <c r="G7" s="20" t="inlineStr"/>
      <c r="H7" s="22" t="inlineStr">
        <is>
          <t>600 tr – 2 tỷ/năm (attach 1–2%)</t>
        </is>
      </c>
      <c r="I7" s="23" t="n">
        <v>0</v>
      </c>
      <c r="J7" s="23" t="n">
        <v>0</v>
      </c>
      <c r="K7" s="24" t="n"/>
      <c r="L7" s="23" t="n"/>
      <c r="M7" s="24" t="n"/>
      <c r="N7" s="25" t="inlineStr">
        <is>
          <t>Kênh: Vntrip (sắp go-live), Hồng Ngọc Hà, Gotadi, Bảo Gia Trần, đại lý VNA</t>
        </is>
      </c>
    </row>
    <row r="8">
      <c r="A8" s="19" t="inlineStr">
        <is>
          <t>asahi-npuv</t>
        </is>
      </c>
      <c r="B8" s="20" t="inlineStr">
        <is>
          <t>Asahi — NPUV</t>
        </is>
      </c>
      <c r="C8" s="20" t="inlineStr">
        <is>
          <t>Asahi / Bell24VN / ALCV</t>
        </is>
      </c>
      <c r="D8" s="20" t="inlineStr">
        <is>
          <t>canh-bao</t>
        </is>
      </c>
      <c r="E8" s="21" t="n">
        <v>5</v>
      </c>
      <c r="F8" s="20" t="inlineStr">
        <is>
          <t>Thư</t>
        </is>
      </c>
      <c r="G8" s="20" t="inlineStr">
        <is>
          <t>Duy</t>
        </is>
      </c>
      <c r="H8" s="22" t="inlineStr">
        <is>
          <t>31 tỷ (kỳ vọng) / 28 tỷ (PVI KPI)</t>
        </is>
      </c>
      <c r="I8" s="23" t="n">
        <v>1.72</v>
      </c>
      <c r="J8" s="23" t="n">
        <v>11.05</v>
      </c>
      <c r="K8" s="24" t="n"/>
      <c r="L8" s="23" t="n"/>
      <c r="M8" s="24" t="n">
        <v>0.278</v>
      </c>
      <c r="N8" s="25" t="inlineStr">
        <is>
          <t>T6 giảm 17,58% YoY; 6T giảm 26,26% YoY — trình phương án lấy lead bệnh viện</t>
        </is>
      </c>
    </row>
    <row r="9">
      <c r="A9" s="19" t="inlineStr">
        <is>
          <t>asahi-apuv</t>
        </is>
      </c>
      <c r="B9" s="20" t="inlineStr">
        <is>
          <t>Asahi — APUV</t>
        </is>
      </c>
      <c r="C9" s="20" t="inlineStr">
        <is>
          <t>Asahi</t>
        </is>
      </c>
      <c r="D9" s="20" t="inlineStr">
        <is>
          <t>canh-bao</t>
        </is>
      </c>
      <c r="E9" s="21" t="n">
        <v>5</v>
      </c>
      <c r="F9" s="20" t="inlineStr">
        <is>
          <t>Thư</t>
        </is>
      </c>
      <c r="G9" s="20" t="inlineStr">
        <is>
          <t>Duy</t>
        </is>
      </c>
      <c r="H9" s="22" t="inlineStr">
        <is>
          <t>2 tỷ (PVI KPI) / 862 tr (kỳ vọng)</t>
        </is>
      </c>
      <c r="I9" s="23" t="n">
        <v>0.02634</v>
      </c>
      <c r="J9" s="23" t="n">
        <v>0.15449</v>
      </c>
      <c r="K9" s="24" t="n"/>
      <c r="L9" s="23" t="n"/>
      <c r="M9" s="24" t="n"/>
      <c r="N9" s="25" t="inlineStr">
        <is>
          <t>T6 26,34 tr (−32,5% YoY); 6T 154,49 tr (−28,15% YoY)</t>
        </is>
      </c>
    </row>
    <row r="10">
      <c r="A10" s="19" t="inlineStr">
        <is>
          <t>mobifone</t>
        </is>
      </c>
      <c r="B10" s="20" t="inlineStr">
        <is>
          <t>MobiFone (Cổng BH)</t>
        </is>
      </c>
      <c r="C10" s="20" t="inlineStr">
        <is>
          <t>MobiFone</t>
        </is>
      </c>
      <c r="D10" s="20" t="inlineStr">
        <is>
          <t>cho-doi-tac</t>
        </is>
      </c>
      <c r="E10" s="21" t="n">
        <v>4</v>
      </c>
      <c r="F10" s="20" t="inlineStr">
        <is>
          <t>Thư</t>
        </is>
      </c>
      <c r="G10" s="20" t="inlineStr">
        <is>
          <t>Duy</t>
        </is>
      </c>
      <c r="H10" s="22" t="inlineStr">
        <is>
          <t>2 tỷ (PVI KPI 2026)</t>
        </is>
      </c>
      <c r="I10" s="23" t="n"/>
      <c r="J10" s="23" t="n">
        <v>0.021</v>
      </c>
      <c r="K10" s="24" t="n">
        <v>0.0105</v>
      </c>
      <c r="L10" s="23" t="n"/>
      <c r="M10" s="24" t="n"/>
      <c r="N10" s="25" t="inlineStr">
        <is>
          <t>Mới 1,05% KPI — chờ ký MOU + go-live Cổng BH</t>
        </is>
      </c>
    </row>
    <row r="11">
      <c r="A11" s="19" t="inlineStr">
        <is>
          <t>zalopay</t>
        </is>
      </c>
      <c r="B11" s="20" t="inlineStr">
        <is>
          <t>Zalopay (BHRVMH)</t>
        </is>
      </c>
      <c r="C11" s="20" t="inlineStr">
        <is>
          <t>Zalopay</t>
        </is>
      </c>
      <c r="D11" s="20" t="inlineStr">
        <is>
          <t>cho-doi-tac</t>
        </is>
      </c>
      <c r="E11" s="21" t="n">
        <v>3</v>
      </c>
      <c r="F11" s="20" t="inlineStr">
        <is>
          <t>Thư</t>
        </is>
      </c>
      <c r="G11" s="20" t="inlineStr">
        <is>
          <t>Duy</t>
        </is>
      </c>
      <c r="H11" s="22" t="inlineStr">
        <is>
          <t>600 tr/năm</t>
        </is>
      </c>
      <c r="I11" s="23" t="n">
        <v>0.0603</v>
      </c>
      <c r="J11" s="23" t="n">
        <v>0.1382</v>
      </c>
      <c r="K11" s="24" t="n"/>
      <c r="L11" s="23" t="n"/>
      <c r="M11" s="24" t="n"/>
      <c r="N11" s="25" t="inlineStr">
        <is>
          <t>Tờ trình tăng ĐMCP bị Ban KTKH từ chối — chờ lãnh đạo chốt hướng mới</t>
        </is>
      </c>
    </row>
    <row r="12">
      <c r="A12" s="19" t="inlineStr">
        <is>
          <t>nnx</t>
        </is>
      </c>
      <c r="B12" s="20" t="inlineStr">
        <is>
          <t>NNX (Trợ cấp nằm viện)</t>
        </is>
      </c>
      <c r="C12" s="20" t="inlineStr">
        <is>
          <t>Ngôi nhà xanh</t>
        </is>
      </c>
      <c r="D12" s="20" t="inlineStr">
        <is>
          <t>tang-truong</t>
        </is>
      </c>
      <c r="E12" s="21" t="n">
        <v>3</v>
      </c>
      <c r="F12" s="20" t="inlineStr">
        <is>
          <t>Thư</t>
        </is>
      </c>
      <c r="G12" s="20" t="inlineStr"/>
      <c r="H12" s="22" t="inlineStr">
        <is>
          <t>20 tỷ (kỳ vọng 2026)</t>
        </is>
      </c>
      <c r="I12" s="23" t="n">
        <v>1.94</v>
      </c>
      <c r="J12" s="23" t="n">
        <v>13.32</v>
      </c>
      <c r="K12" s="24" t="n"/>
      <c r="L12" s="23" t="n">
        <v>1.88</v>
      </c>
      <c r="M12" s="24" t="n"/>
      <c r="N12" s="25" t="inlineStr">
        <is>
          <t>6T tăng 7,07 lần YoY — ngôi sao tăng trưởng (cả năm 2025: 10,4 tỷ)</t>
        </is>
      </c>
    </row>
    <row r="13">
      <c r="A13" s="19" t="inlineStr">
        <is>
          <t>plus-ew</t>
        </is>
      </c>
      <c r="B13" s="20" t="inlineStr">
        <is>
          <t>Plus &amp; EW Honda</t>
        </is>
      </c>
      <c r="C13" s="20" t="inlineStr">
        <is>
          <t>Honda Plus</t>
        </is>
      </c>
      <c r="D13" s="20" t="inlineStr">
        <is>
          <t>tang-truong</t>
        </is>
      </c>
      <c r="E13" s="21" t="n">
        <v>4</v>
      </c>
      <c r="F13" s="20" t="inlineStr">
        <is>
          <t>Tùng</t>
        </is>
      </c>
      <c r="G13" s="20" t="inlineStr"/>
      <c r="H13" s="22" t="inlineStr">
        <is>
          <t>10 tỷ (Plus) / 1 tỷ (EW)</t>
        </is>
      </c>
      <c r="I13" s="23" t="n">
        <v>0.333</v>
      </c>
      <c r="J13" s="23" t="n">
        <v>1.634</v>
      </c>
      <c r="K13" s="24" t="n"/>
      <c r="L13" s="23" t="n"/>
      <c r="M13" s="24" t="n"/>
      <c r="N13" s="25" t="inlineStr">
        <is>
          <t>T6 +38,2% MoM · Plus 1,622 tỷ (2.748 đơn) + EW 12 tr (128 đơn) · pvi-honda-report.netlify.app</t>
        </is>
      </c>
    </row>
    <row r="14">
      <c r="A14" s="19" t="inlineStr">
        <is>
          <t>viettelstore</t>
        </is>
      </c>
      <c r="B14" s="20" t="inlineStr">
        <is>
          <t>Viettel Store</t>
        </is>
      </c>
      <c r="C14" s="20" t="inlineStr">
        <is>
          <t>Viettel Store</t>
        </is>
      </c>
      <c r="D14" s="20" t="inlineStr">
        <is>
          <t>sap-golive</t>
        </is>
      </c>
      <c r="E14" s="21" t="n">
        <v>3</v>
      </c>
      <c r="F14" s="20" t="inlineStr">
        <is>
          <t>Tùng</t>
        </is>
      </c>
      <c r="G14" s="20" t="inlineStr"/>
      <c r="H14" s="22" t="inlineStr">
        <is>
          <t>4 tỷ (ADLD) / 1 tỷ (EW)</t>
        </is>
      </c>
      <c r="I14" s="23" t="n">
        <v>0</v>
      </c>
      <c r="J14" s="23" t="n">
        <v>0</v>
      </c>
      <c r="K14" s="24" t="n"/>
      <c r="L14" s="23" t="n"/>
      <c r="M14" s="24" t="n"/>
      <c r="N14" s="25" t="inlineStr">
        <is>
          <t>Test API thành công; đổi nhà tái Allianz → AIG từ 01/07; chờ VST xác nhận go-live</t>
        </is>
      </c>
    </row>
    <row r="15">
      <c r="A15" s="19" t="inlineStr">
        <is>
          <t>sungroup</t>
        </is>
      </c>
      <c r="B15" s="20" t="inlineStr">
        <is>
          <t>Sun Group (BH nhúng)</t>
        </is>
      </c>
      <c r="C15" s="20" t="inlineStr">
        <is>
          <t>OPES – Sun Group</t>
        </is>
      </c>
      <c r="D15" s="20" t="inlineStr">
        <is>
          <t>sap-golive</t>
        </is>
      </c>
      <c r="E15" s="21" t="n">
        <v>5</v>
      </c>
      <c r="F15" s="20" t="inlineStr">
        <is>
          <t>Tùng</t>
        </is>
      </c>
      <c r="G15" s="20" t="inlineStr">
        <is>
          <t>Hằng/Thư</t>
        </is>
      </c>
      <c r="H15" s="22" t="inlineStr">
        <is>
          <t>Ước tính DT SG ~325 tỷ/năm</t>
        </is>
      </c>
      <c r="I15" s="23" t="n">
        <v>0</v>
      </c>
      <c r="J15" s="23" t="n">
        <v>0</v>
      </c>
      <c r="K15" s="24" t="n"/>
      <c r="L15" s="23" t="n"/>
      <c r="M15" s="24" t="n"/>
      <c r="N15" s="25" t="inlineStr">
        <is>
          <t>T6 tạm ngưng, tái khởi động T7 — go-live + MOU OPES trước 31/07</t>
        </is>
      </c>
    </row>
    <row r="16">
      <c r="A16" s="19" t="inlineStr">
        <is>
          <t>khac</t>
        </is>
      </c>
      <c r="B16" s="20" t="inlineStr">
        <is>
          <t>Các dự án khác</t>
        </is>
      </c>
      <c r="C16" s="20" t="inlineStr">
        <is>
          <t>A05, 7-Eleven, OPES, Insurtech…</t>
        </is>
      </c>
      <c r="D16" s="20" t="inlineStr">
        <is>
          <t>cho-doi-tac</t>
        </is>
      </c>
      <c r="E16" s="21" t="n">
        <v>4</v>
      </c>
      <c r="F16" s="20" t="inlineStr">
        <is>
          <t>Tùng</t>
        </is>
      </c>
      <c r="G16" s="20" t="inlineStr">
        <is>
          <t>Duy</t>
        </is>
      </c>
      <c r="H16" s="22" t="inlineStr">
        <is>
          <t>—</t>
        </is>
      </c>
      <c r="I16" s="23" t="n">
        <v>0</v>
      </c>
      <c r="J16" s="23" t="n">
        <v>0</v>
      </c>
      <c r="K16" s="24" t="n"/>
      <c r="L16" s="23" t="n"/>
      <c r="M16" s="24" t="n"/>
      <c r="N16" s="25" t="inlineStr">
        <is>
          <t>6 hướng đang đàm phán: A05, 7-Eleven, OPES–O-Car–VPBank, Insurtech–3GO, Igloo CPM, GTEL/VNPT</t>
        </is>
      </c>
    </row>
    <row r="17">
      <c r="A17" s="26" t="n"/>
      <c r="B17" s="27" t="inlineStr">
        <is>
          <t>TỔNG (tự tính)</t>
        </is>
      </c>
      <c r="C17" s="26" t="n"/>
      <c r="D17" s="26" t="n"/>
      <c r="E17" s="26" t="n"/>
      <c r="F17" s="26" t="n"/>
      <c r="G17" s="26" t="n"/>
      <c r="H17" s="26" t="n"/>
      <c r="I17" s="28">
        <f>SUM(I3:I16)</f>
        <v/>
      </c>
      <c r="J17" s="28">
        <f>SUM(J3:J16)</f>
        <v/>
      </c>
      <c r="K17" s="26" t="n"/>
      <c r="L17" s="28">
        <f>SUM(L3:L16)</f>
        <v/>
      </c>
      <c r="M17" s="26" t="n"/>
      <c r="N17" s="26" t="n"/>
    </row>
  </sheetData>
  <conditionalFormatting sqref="M3:M16">
    <cfRule type="cellIs" priority="1" operator="greaterThan" dxfId="0">
      <formula>1</formula>
    </cfRule>
  </conditionalFormatting>
  <dataValidations count="2">
    <dataValidation sqref="D3:D16" showDropDown="0" showInputMessage="0" showErrorMessage="0" allowBlank="0" type="list">
      <formula1>"tang-truong,sap-golive,canh-bao,cho-doi-tac"</formula1>
    </dataValidation>
    <dataValidation sqref="E3:E16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8" customWidth="1" min="4" max="4"/>
    <col width="16" customWidth="1" min="5" max="5"/>
  </cols>
  <sheetData>
    <row r="1">
      <c r="A1" s="17" t="inlineStr">
        <is>
          <t>wBOOKING (HIO) — BẢNG THEO THÁNG · nhập cột B, C, D bằng ĐỒNG</t>
        </is>
      </c>
    </row>
    <row r="2" ht="30" customHeight="1">
      <c r="A2" s="18" t="inlineStr">
        <is>
          <t>Tháng</t>
        </is>
      </c>
      <c r="B2" s="18" t="inlineStr">
        <is>
          <t>Doanh thu (đ)</t>
        </is>
      </c>
      <c r="C2" s="18" t="inlineStr">
        <is>
          <t>Bồi thường (đ)</t>
        </is>
      </c>
      <c r="D2" s="18" t="inlineStr">
        <is>
          <t>Số vụ</t>
        </is>
      </c>
      <c r="E2" s="18" t="inlineStr">
        <is>
          <t>Tỷ lệ BT (tự tính)</t>
        </is>
      </c>
    </row>
    <row r="3">
      <c r="A3" s="29" t="inlineStr">
        <is>
          <t>T1/2026</t>
        </is>
      </c>
      <c r="B3" s="15" t="n">
        <v>392389785</v>
      </c>
      <c r="C3" s="15" t="n">
        <v>187500000</v>
      </c>
      <c r="D3" s="15" t="n">
        <v>3</v>
      </c>
      <c r="E3" s="30">
        <f>IF(B3=0,"—",C3/B3)</f>
        <v/>
      </c>
    </row>
    <row r="4">
      <c r="A4" s="29" t="inlineStr">
        <is>
          <t>T2/2026</t>
        </is>
      </c>
      <c r="B4" s="15" t="n">
        <v>192458948</v>
      </c>
      <c r="C4" s="15" t="n">
        <v>125000000</v>
      </c>
      <c r="D4" s="15" t="n">
        <v>3</v>
      </c>
      <c r="E4" s="30">
        <f>IF(B4=0,"—",C4/B4)</f>
        <v/>
      </c>
    </row>
    <row r="5">
      <c r="A5" s="29" t="inlineStr">
        <is>
          <t>T3/2026</t>
        </is>
      </c>
      <c r="B5" s="15" t="n">
        <v>376792008</v>
      </c>
      <c r="C5" s="15" t="n">
        <v>112500000</v>
      </c>
      <c r="D5" s="15" t="n">
        <v>2</v>
      </c>
      <c r="E5" s="30">
        <f>IF(B5=0,"—",C5/B5)</f>
        <v/>
      </c>
    </row>
    <row r="6">
      <c r="A6" s="29" t="inlineStr">
        <is>
          <t>T4/2026</t>
        </is>
      </c>
      <c r="B6" s="15" t="n">
        <v>306641027</v>
      </c>
      <c r="C6" s="15" t="n">
        <v>432000000</v>
      </c>
      <c r="D6" s="15" t="n">
        <v>2</v>
      </c>
      <c r="E6" s="30">
        <f>IF(B6=0,"—",C6/B6)</f>
        <v/>
      </c>
    </row>
    <row r="7">
      <c r="A7" s="29" t="inlineStr">
        <is>
          <t>T5/2026</t>
        </is>
      </c>
      <c r="B7" s="15" t="n">
        <v>242407448</v>
      </c>
      <c r="C7" s="15" t="n">
        <v>300000000</v>
      </c>
      <c r="D7" s="15" t="n">
        <v>4</v>
      </c>
      <c r="E7" s="30">
        <f>IF(B7=0,"—",C7/B7)</f>
        <v/>
      </c>
    </row>
    <row r="8">
      <c r="A8" s="29" t="inlineStr">
        <is>
          <t>T6/2026</t>
        </is>
      </c>
      <c r="B8" s="15" t="n">
        <v>180525803</v>
      </c>
      <c r="C8" s="15" t="n">
        <v>237500000</v>
      </c>
      <c r="D8" s="15" t="n">
        <v>3</v>
      </c>
      <c r="E8" s="30">
        <f>IF(B8=0,"—",C8/B8)</f>
        <v/>
      </c>
    </row>
    <row r="9">
      <c r="A9" s="27" t="inlineStr">
        <is>
          <t>TỔNG 6T</t>
        </is>
      </c>
      <c r="B9" s="31">
        <f>SUM(B3:B8)</f>
        <v/>
      </c>
      <c r="C9" s="31">
        <f>SUM(C3:C8)</f>
        <v/>
      </c>
      <c r="D9" s="31">
        <f>SUM(D3:D8)</f>
        <v/>
      </c>
      <c r="E9" s="32">
        <f>IF(B9=0,"—",C9/B9)</f>
        <v/>
      </c>
    </row>
    <row r="11">
      <c r="A11" s="34" t="inlineStr">
        <is>
          <t>Lưu ý: tổng 6T cộng từ 6 tháng = 1.691.215.019đ (BT 82,46%), trong khi Báo cáo T6/2026 ghi 1.590.806.340đ (BT 87,66%). Cần đối chiếu lại số tháng trong báo cáo gốc.</t>
        </is>
      </c>
    </row>
    <row r="12"/>
  </sheetData>
  <mergeCells count="1">
    <mergeCell ref="A11:E12"/>
  </mergeCells>
  <conditionalFormatting sqref="E3:E9">
    <cfRule type="cellIs" priority="1" operator="greaterThan" dxfId="0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60" customWidth="1" min="4" max="4"/>
  </cols>
  <sheetData>
    <row r="1">
      <c r="A1" s="17" t="inlineStr">
        <is>
          <t>ĐIỂM NÓNG CẦN LÃNH ĐẠO QUYẾT ĐỊNH — Khối C dashboard · Mức độ: GAP hoặc THEO-DOI</t>
        </is>
      </c>
    </row>
    <row r="2" ht="30" customHeight="1">
      <c r="A2" s="18" t="inlineStr">
        <is>
          <t>Mức độ</t>
        </is>
      </c>
      <c r="B2" s="18" t="inlineStr">
        <is>
          <t>Dự án</t>
        </is>
      </c>
      <c r="C2" s="18" t="inlineStr">
        <is>
          <t>Vấn đề</t>
        </is>
      </c>
      <c r="D2" s="18" t="inlineStr">
        <is>
          <t>Đề xuất trình lãnh đạo</t>
        </is>
      </c>
    </row>
    <row r="3">
      <c r="A3" s="33" t="inlineStr">
        <is>
          <t>GAP</t>
        </is>
      </c>
      <c r="B3" s="25" t="inlineStr">
        <is>
          <t>Zalopay</t>
        </is>
      </c>
      <c r="C3" s="25" t="inlineStr">
        <is>
          <t>Tờ trình tăng ĐMCP bị Ban KTKH từ chối</t>
        </is>
      </c>
      <c r="D3" s="25" t="inlineStr">
        <is>
          <t>Chốt hướng: PVI chịu chi phí KM tháng đầu / phương án nâng giá 40% của ZLP</t>
        </is>
      </c>
    </row>
    <row r="4">
      <c r="A4" s="33" t="inlineStr">
        <is>
          <t>GAP</t>
        </is>
      </c>
      <c r="B4" s="25" t="inlineStr">
        <is>
          <t>BambooCARE</t>
        </is>
      </c>
      <c r="C4" s="25" t="inlineStr">
        <is>
          <t>Công nợ BAV quá hạn 277.972.704đ (T3–5/2026)</t>
        </is>
      </c>
      <c r="D4" s="25" t="inlineStr">
        <is>
          <t>Chỉ đạo phương án thu hồi công nợ</t>
        </is>
      </c>
    </row>
    <row r="5">
      <c r="A5" s="33" t="inlineStr">
        <is>
          <t>GAP</t>
        </is>
      </c>
      <c r="B5" s="25" t="inlineStr">
        <is>
          <t>Asahi NPUV + APUV</t>
        </is>
      </c>
      <c r="C5" s="25" t="inlineStr">
        <is>
          <t>Cả hai giảm &gt;26% so cùng kỳ</t>
        </is>
      </c>
      <c r="D5" s="25" t="inlineStr">
        <is>
          <t>Duyệt phương án lấy lead bệnh viện + điều chỉnh APUV</t>
        </is>
      </c>
    </row>
    <row r="6">
      <c r="A6" s="25" t="inlineStr">
        <is>
          <t>THEO-DOI</t>
        </is>
      </c>
      <c r="B6" s="25" t="inlineStr">
        <is>
          <t>wBooking</t>
        </is>
      </c>
      <c r="C6" s="25" t="inlineStr">
        <is>
          <t>Tỷ lệ bồi thường 87,66% (T4–T6 đều &gt;100%)</t>
        </is>
      </c>
      <c r="D6" s="25" t="inlineStr">
        <is>
          <t>Rà soát gói B20, cơ cấu tái — rủi ro lỗ</t>
        </is>
      </c>
    </row>
    <row r="7">
      <c r="A7" s="25" t="inlineStr">
        <is>
          <t>THEO-DOI</t>
        </is>
      </c>
      <c r="B7" s="25" t="inlineStr">
        <is>
          <t>MobiFone</t>
        </is>
      </c>
      <c r="C7" s="25" t="inlineStr">
        <is>
          <t>Mới đạt 1,05% KPI</t>
        </is>
      </c>
      <c r="D7" s="25" t="inlineStr">
        <is>
          <t>Đẩy ký MOU + go-live Cổng BH</t>
        </is>
      </c>
    </row>
  </sheetData>
  <dataValidations count="1">
    <dataValidation sqref="A3:A13" showDropDown="0" showInputMessage="0" showErrorMessage="0" allowBlank="0" type="list">
      <formula1>"GAP,THEO-DOI"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2" customWidth="1" min="3" max="3"/>
    <col width="10" customWidth="1" min="4" max="4"/>
  </cols>
  <sheetData>
    <row r="1">
      <c r="A1" s="17" t="inlineStr">
        <is>
          <t>LỊCH GO-LIVE &amp; MỐC THÁNG TỚI — Khối D dashboard</t>
        </is>
      </c>
    </row>
    <row r="2" ht="30" customHeight="1">
      <c r="A2" s="18" t="inlineStr">
        <is>
          <t>Ngày / mốc</t>
        </is>
      </c>
      <c r="B2" s="18" t="inlineStr">
        <is>
          <t>Dự án</t>
        </is>
      </c>
      <c r="C2" s="18" t="inlineStr">
        <is>
          <t>Nội dung mốc</t>
        </is>
      </c>
      <c r="D2" s="18" t="inlineStr">
        <is>
          <t>Nổi bật (x)</t>
        </is>
      </c>
    </row>
    <row r="3">
      <c r="A3" s="25" t="inlineStr">
        <is>
          <t>01/07</t>
        </is>
      </c>
      <c r="B3" s="25" t="inlineStr">
        <is>
          <t>Viettel Store</t>
        </is>
      </c>
      <c r="C3" s="25" t="inlineStr">
        <is>
          <t>Đổi nhà tái ADLD Allianz → AIG (hiệu lực)</t>
        </is>
      </c>
      <c r="D3" s="21" t="inlineStr"/>
    </row>
    <row r="4">
      <c r="A4" s="25" t="inlineStr">
        <is>
          <t>14/07</t>
        </is>
      </c>
      <c r="B4" s="25" t="inlineStr">
        <is>
          <t>SPA</t>
        </is>
      </c>
      <c r="C4" s="25" t="inlineStr">
        <is>
          <t>Hoàn thiện back-end sản phẩm</t>
        </is>
      </c>
      <c r="D4" s="21" t="inlineStr">
        <is>
          <t>x</t>
        </is>
      </c>
    </row>
    <row r="5">
      <c r="A5" s="25" t="inlineStr">
        <is>
          <t>13–24/07</t>
        </is>
      </c>
      <c r="B5" s="25" t="inlineStr">
        <is>
          <t>SPA</t>
        </is>
      </c>
      <c r="C5" s="25" t="inlineStr">
        <is>
          <t>Test UAT với 1A</t>
        </is>
      </c>
      <c r="D5" s="21" t="inlineStr"/>
    </row>
    <row r="6">
      <c r="A6" s="25" t="inlineStr">
        <is>
          <t>Trước 31/07</t>
        </is>
      </c>
      <c r="B6" s="25" t="inlineStr">
        <is>
          <t>Sun Group</t>
        </is>
      </c>
      <c r="C6" s="25" t="inlineStr">
        <is>
          <t>Go-live SP nhúng + ký MOU với OPES</t>
        </is>
      </c>
      <c r="D6" s="21" t="inlineStr">
        <is>
          <t>x</t>
        </is>
      </c>
    </row>
    <row r="7">
      <c r="A7" s="25" t="inlineStr">
        <is>
          <t>Trong T7</t>
        </is>
      </c>
      <c r="B7" s="25" t="inlineStr">
        <is>
          <t>MobiFone</t>
        </is>
      </c>
      <c r="C7" s="25" t="inlineStr">
        <is>
          <t>Ký MOU + go-live BH Du lịch quốc tế (Cổng BH)</t>
        </is>
      </c>
      <c r="D7" s="21" t="inlineStr"/>
    </row>
    <row r="8">
      <c r="A8" s="25" t="inlineStr">
        <is>
          <t>Trong T7</t>
        </is>
      </c>
      <c r="B8" s="25" t="inlineStr">
        <is>
          <t>Viettel Store</t>
        </is>
      </c>
      <c r="C8" s="25" t="inlineStr">
        <is>
          <t>Go-live ADLD &amp; EW + kết nối '1 đổi 1'</t>
        </is>
      </c>
      <c r="D8" s="21" t="inlineStr"/>
    </row>
    <row r="9">
      <c r="A9" s="25" t="inlineStr">
        <is>
          <t>06/08</t>
        </is>
      </c>
      <c r="B9" s="25" t="inlineStr">
        <is>
          <t>SPA</t>
        </is>
      </c>
      <c r="C9" s="25" t="inlineStr">
        <is>
          <t>Production release trên Chubb CRS</t>
        </is>
      </c>
      <c r="D9" s="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BẢNG PHÂN CÔNG 22 ĐỐI TÁC — chế độ Chuyên viên</t>
        </is>
      </c>
    </row>
    <row r="2" ht="30" customHeight="1">
      <c r="A2" s="18" t="inlineStr">
        <is>
          <t>STT</t>
        </is>
      </c>
      <c r="B2" s="18" t="inlineStr">
        <is>
          <t>Đối tác</t>
        </is>
      </c>
      <c r="C2" s="18" t="inlineStr">
        <is>
          <t>Sản phẩm / Chương trình</t>
        </is>
      </c>
      <c r="D2" s="18" t="inlineStr">
        <is>
          <t>Ưu tiên (1-5)</t>
        </is>
      </c>
      <c r="E2" s="18" t="inlineStr">
        <is>
          <t>Phụ trách</t>
        </is>
      </c>
      <c r="F2" s="18" t="inlineStr">
        <is>
          <t>Hỗ trợ</t>
        </is>
      </c>
    </row>
    <row r="3">
      <c r="A3" s="21" t="n">
        <v>1</v>
      </c>
      <c r="B3" s="25" t="inlineStr">
        <is>
          <t>VNA</t>
        </is>
      </c>
      <c r="C3" s="25" t="inlineStr">
        <is>
          <t>TripCARE</t>
        </is>
      </c>
      <c r="D3" s="21" t="n">
        <v>5</v>
      </c>
      <c r="E3" s="25" t="inlineStr">
        <is>
          <t>Hằng</t>
        </is>
      </c>
      <c r="F3" s="25" t="inlineStr">
        <is>
          <t>Duy</t>
        </is>
      </c>
    </row>
    <row r="4">
      <c r="A4" s="21" t="n">
        <v>2</v>
      </c>
      <c r="B4" s="25" t="inlineStr">
        <is>
          <t>Asahi – Bell24VN, ALCV, iCraft</t>
        </is>
      </c>
      <c r="C4" s="25" t="inlineStr">
        <is>
          <t>NPUV, APUV</t>
        </is>
      </c>
      <c r="D4" s="21" t="n">
        <v>5</v>
      </c>
      <c r="E4" s="25" t="inlineStr">
        <is>
          <t>Thư</t>
        </is>
      </c>
      <c r="F4" s="25" t="inlineStr">
        <is>
          <t>Duy</t>
        </is>
      </c>
    </row>
    <row r="5">
      <c r="A5" s="21" t="n">
        <v>3</v>
      </c>
      <c r="B5" s="25" t="inlineStr">
        <is>
          <t>SPA</t>
        </is>
      </c>
      <c r="C5" s="25" t="inlineStr">
        <is>
          <t>SPA GoSafe</t>
        </is>
      </c>
      <c r="D5" s="21" t="n">
        <v>5</v>
      </c>
      <c r="E5" s="25" t="inlineStr">
        <is>
          <t>Hằng</t>
        </is>
      </c>
      <c r="F5" s="25" t="inlineStr">
        <is>
          <t>Thư</t>
        </is>
      </c>
    </row>
    <row r="6">
      <c r="A6" s="21" t="n">
        <v>4</v>
      </c>
      <c r="B6" s="25" t="inlineStr">
        <is>
          <t>A05</t>
        </is>
      </c>
      <c r="C6" s="25" t="inlineStr">
        <is>
          <t>BH Cyber Shield SME</t>
        </is>
      </c>
      <c r="D6" s="21" t="n">
        <v>5</v>
      </c>
      <c r="E6" s="25" t="inlineStr">
        <is>
          <t>Tùng</t>
        </is>
      </c>
      <c r="F6" s="25" t="inlineStr"/>
    </row>
    <row r="7">
      <c r="A7" s="21" t="n">
        <v>5</v>
      </c>
      <c r="B7" s="25" t="inlineStr">
        <is>
          <t>OPES – SunGroup</t>
        </is>
      </c>
      <c r="C7" s="25" t="inlineStr">
        <is>
          <t>BH Trải nghiệm trọn vẹn, Thời tiết, Cáp treo, Kỳ nghỉ an tâm, Du lịch ngắn hạn</t>
        </is>
      </c>
      <c r="D7" s="21" t="n">
        <v>5</v>
      </c>
      <c r="E7" s="25" t="inlineStr">
        <is>
          <t>Tùng</t>
        </is>
      </c>
      <c r="F7" s="25" t="inlineStr">
        <is>
          <t>Hằng, Thư</t>
        </is>
      </c>
    </row>
    <row r="8">
      <c r="A8" s="21" t="n">
        <v>6</v>
      </c>
      <c r="B8" s="25" t="inlineStr">
        <is>
          <t>OPES – O-Car – VP Bank</t>
        </is>
      </c>
      <c r="C8" s="25" t="inlineStr">
        <is>
          <t>BH Vật chất xe ô tô</t>
        </is>
      </c>
      <c r="D8" s="21" t="n">
        <v>5</v>
      </c>
      <c r="E8" s="25" t="inlineStr">
        <is>
          <t>Tùng</t>
        </is>
      </c>
      <c r="F8" s="25" t="inlineStr">
        <is>
          <t>Duy</t>
        </is>
      </c>
    </row>
    <row r="9">
      <c r="A9" s="21" t="n">
        <v>7</v>
      </c>
      <c r="B9" s="25" t="inlineStr">
        <is>
          <t>Bamboo</t>
        </is>
      </c>
      <c r="C9" s="25" t="inlineStr">
        <is>
          <t>BambooCARE</t>
        </is>
      </c>
      <c r="D9" s="21" t="n">
        <v>3</v>
      </c>
      <c r="E9" s="25" t="inlineStr">
        <is>
          <t>Hằng</t>
        </is>
      </c>
      <c r="F9" s="25" t="inlineStr"/>
    </row>
    <row r="10">
      <c r="A10" s="21" t="n">
        <v>8</v>
      </c>
      <c r="B10" s="25" t="inlineStr">
        <is>
          <t>Igloo</t>
        </is>
      </c>
      <c r="C10" s="25" t="inlineStr">
        <is>
          <t>Flight Delay</t>
        </is>
      </c>
      <c r="D10" s="21" t="n">
        <v>3</v>
      </c>
      <c r="E10" s="25" t="inlineStr">
        <is>
          <t>Hằng</t>
        </is>
      </c>
      <c r="F10" s="25" t="inlineStr"/>
    </row>
    <row r="11">
      <c r="A11" s="21" t="n">
        <v>9</v>
      </c>
      <c r="B11" s="25" t="inlineStr">
        <is>
          <t>wBooking</t>
        </is>
      </c>
      <c r="C11" s="25" t="inlineStr">
        <is>
          <t>HIO</t>
        </is>
      </c>
      <c r="D11" s="21" t="n">
        <v>3</v>
      </c>
      <c r="E11" s="25" t="inlineStr">
        <is>
          <t>Hằng</t>
        </is>
      </c>
      <c r="F11" s="25" t="inlineStr"/>
    </row>
    <row r="12">
      <c r="A12" s="21" t="n">
        <v>10</v>
      </c>
      <c r="B12" s="25" t="inlineStr">
        <is>
          <t>MobiFone</t>
        </is>
      </c>
      <c r="C12" s="25" t="inlineStr">
        <is>
          <t>Cổng bảo hiểm</t>
        </is>
      </c>
      <c r="D12" s="21" t="n">
        <v>4</v>
      </c>
      <c r="E12" s="25" t="inlineStr">
        <is>
          <t>Thư</t>
        </is>
      </c>
      <c r="F12" s="25" t="inlineStr">
        <is>
          <t>Duy</t>
        </is>
      </c>
    </row>
    <row r="13">
      <c r="A13" s="21" t="n">
        <v>11</v>
      </c>
      <c r="B13" s="25" t="inlineStr">
        <is>
          <t>Ngôi nhà xanh</t>
        </is>
      </c>
      <c r="C13" s="25" t="inlineStr">
        <is>
          <t>BH trợ cấp nằm viện</t>
        </is>
      </c>
      <c r="D13" s="21" t="n">
        <v>3</v>
      </c>
      <c r="E13" s="25" t="inlineStr">
        <is>
          <t>Thư</t>
        </is>
      </c>
      <c r="F13" s="25" t="inlineStr"/>
    </row>
    <row r="14">
      <c r="A14" s="21" t="n">
        <v>12</v>
      </c>
      <c r="B14" s="25" t="inlineStr">
        <is>
          <t>Zalopay</t>
        </is>
      </c>
      <c r="C14" s="25" t="inlineStr">
        <is>
          <t>BH Rơi vỡ màn hình điện thoại</t>
        </is>
      </c>
      <c r="D14" s="21" t="n">
        <v>3</v>
      </c>
      <c r="E14" s="25" t="inlineStr">
        <is>
          <t>Thư</t>
        </is>
      </c>
      <c r="F14" s="25" t="inlineStr">
        <is>
          <t>Duy</t>
        </is>
      </c>
    </row>
    <row r="15">
      <c r="A15" s="21" t="n">
        <v>13</v>
      </c>
      <c r="B15" s="25" t="inlineStr">
        <is>
          <t>GTEL</t>
        </is>
      </c>
      <c r="C15" s="25" t="inlineStr">
        <is>
          <t>Hợp tác toàn diện</t>
        </is>
      </c>
      <c r="D15" s="21" t="n">
        <v>2</v>
      </c>
      <c r="E15" s="25" t="inlineStr">
        <is>
          <t>Thư</t>
        </is>
      </c>
      <c r="F15" s="25" t="inlineStr">
        <is>
          <t>Tùng</t>
        </is>
      </c>
    </row>
    <row r="16">
      <c r="A16" s="21" t="n">
        <v>14</v>
      </c>
      <c r="B16" s="25" t="inlineStr">
        <is>
          <t>VNPT</t>
        </is>
      </c>
      <c r="C16" s="25" t="inlineStr">
        <is>
          <t>Hợp tác toàn diện</t>
        </is>
      </c>
      <c r="D16" s="21" t="n">
        <v>2</v>
      </c>
      <c r="E16" s="25" t="inlineStr">
        <is>
          <t>Thư</t>
        </is>
      </c>
      <c r="F16" s="25" t="inlineStr"/>
    </row>
    <row r="17">
      <c r="A17" s="21" t="n">
        <v>15</v>
      </c>
      <c r="B17" s="25" t="inlineStr">
        <is>
          <t>Igloo</t>
        </is>
      </c>
      <c r="C17" s="25" t="inlineStr">
        <is>
          <t>BH ung thư CPM</t>
        </is>
      </c>
      <c r="D17" s="21" t="n">
        <v>1</v>
      </c>
      <c r="E17" s="25" t="inlineStr">
        <is>
          <t>Thư</t>
        </is>
      </c>
      <c r="F17" s="25" t="inlineStr">
        <is>
          <t>Duy</t>
        </is>
      </c>
    </row>
    <row r="18">
      <c r="A18" s="21" t="n">
        <v>16</v>
      </c>
      <c r="B18" s="25" t="inlineStr">
        <is>
          <t>Insurtech – 3GO</t>
        </is>
      </c>
      <c r="C18" s="25" t="inlineStr">
        <is>
          <t>TNDS ô tô, Vật chất xe, Tai nạn người ngồi, TNDS vượt mức</t>
        </is>
      </c>
      <c r="D18" s="21" t="n">
        <v>5</v>
      </c>
      <c r="E18" s="25" t="inlineStr">
        <is>
          <t>Tùng</t>
        </is>
      </c>
      <c r="F18" s="25" t="inlineStr">
        <is>
          <t>Duy</t>
        </is>
      </c>
    </row>
    <row r="19">
      <c r="A19" s="21" t="n">
        <v>17</v>
      </c>
      <c r="B19" s="25" t="inlineStr">
        <is>
          <t>Honda Plus</t>
        </is>
      </c>
      <c r="C19" s="25" t="inlineStr">
        <is>
          <t>Plus &amp; EW</t>
        </is>
      </c>
      <c r="D19" s="21" t="n">
        <v>4</v>
      </c>
      <c r="E19" s="25" t="inlineStr">
        <is>
          <t>Tùng</t>
        </is>
      </c>
      <c r="F19" s="25" t="inlineStr"/>
    </row>
    <row r="20">
      <c r="A20" s="21" t="n">
        <v>18</v>
      </c>
      <c r="B20" s="25" t="inlineStr">
        <is>
          <t>Viettel Store</t>
        </is>
      </c>
      <c r="C20" s="25" t="inlineStr">
        <is>
          <t>ADLD, EW, BH 1 đổi 1</t>
        </is>
      </c>
      <c r="D20" s="21" t="n">
        <v>3</v>
      </c>
      <c r="E20" s="25" t="inlineStr">
        <is>
          <t>Tùng</t>
        </is>
      </c>
      <c r="F20" s="25" t="inlineStr"/>
    </row>
    <row r="21">
      <c r="A21" s="21" t="n">
        <v>19</v>
      </c>
      <c r="B21" s="25" t="inlineStr">
        <is>
          <t>Seven Eleven</t>
        </is>
      </c>
      <c r="C21" s="25" t="inlineStr">
        <is>
          <t>TNDS xe máy, Tai nạn cá nhân</t>
        </is>
      </c>
      <c r="D21" s="21" t="n">
        <v>3</v>
      </c>
      <c r="E21" s="25" t="inlineStr">
        <is>
          <t>Tùng</t>
        </is>
      </c>
      <c r="F21" s="25" t="inlineStr"/>
    </row>
    <row r="22">
      <c r="A22" s="21" t="n">
        <v>20</v>
      </c>
      <c r="B22" s="25" t="inlineStr">
        <is>
          <t>TNDS Cửa khẩu</t>
        </is>
      </c>
      <c r="C22" s="25" t="inlineStr">
        <is>
          <t>TNDS xe xuất nhập cảnh</t>
        </is>
      </c>
      <c r="D22" s="21" t="n">
        <v>2</v>
      </c>
      <c r="E22" s="25" t="inlineStr">
        <is>
          <t>Tùng</t>
        </is>
      </c>
      <c r="F22" s="25" t="inlineStr"/>
    </row>
    <row r="23">
      <c r="A23" s="21" t="n">
        <v>21</v>
      </c>
      <c r="B23" s="25" t="inlineStr">
        <is>
          <t>Igloo</t>
        </is>
      </c>
      <c r="C23" s="25" t="inlineStr">
        <is>
          <t>BH chỉ số thời tiết (RWI &amp; GIZ)</t>
        </is>
      </c>
      <c r="D23" s="21" t="n">
        <v>1</v>
      </c>
      <c r="E23" s="25" t="inlineStr">
        <is>
          <t>Tùng</t>
        </is>
      </c>
      <c r="F23" s="25" t="inlineStr"/>
    </row>
    <row r="24">
      <c r="A24" s="21" t="n">
        <v>22</v>
      </c>
      <c r="B24" s="25" t="inlineStr">
        <is>
          <t>VTC Game</t>
        </is>
      </c>
      <c r="C24" s="25" t="inlineStr">
        <is>
          <t>BH An ninh mạng cá nhân</t>
        </is>
      </c>
      <c r="D24" s="21" t="n">
        <v>1</v>
      </c>
      <c r="E24" s="25" t="inlineStr">
        <is>
          <t>Tùng</t>
        </is>
      </c>
      <c r="F24" s="25" t="inlineStr"/>
    </row>
  </sheetData>
  <dataValidations count="1">
    <dataValidation sqref="D3:D24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2026-07-08T15:08:08Z</dcterms:created>
  <dcterms:modified xmlns:dcterms="http://purl.org/dc/terms/" xmlns:xsi="http://www.w3.org/2001/XMLSchema-instance" xsi:type="dcterms:W3CDTF">2026-07-08T15:12:53Z</dcterms:modified>
</cp:coreProperties>
</file>